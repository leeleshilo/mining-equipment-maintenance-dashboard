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8_{F19AA86F-75AB-4A81-9FD6-8C5FE4BDAD26}" xr6:coauthVersionLast="47" xr6:coauthVersionMax="47" xr10:uidLastSave="{00000000-0000-0000-0000-000000000000}"/>
  <bookViews>
    <workbookView xWindow="0" yWindow="0" windowWidth="0" windowHeight="0" firstSheet="2" activeTab="1" xr2:uid="{00000000-000D-0000-FFFF-FFFF00000000}"/>
  </bookViews>
  <sheets>
    <sheet name="Maintenance Data" sheetId="1" r:id="rId1"/>
    <sheet name="pivot tables" sheetId="2" r:id="rId2"/>
    <sheet name="Operations Dashboard" sheetId="3" r:id="rId3"/>
  </sheets>
  <definedNames>
    <definedName name="_xlnm._FilterDatabase" localSheetId="0" hidden="1">'Maintenance Data'!$L$15:$L$15</definedName>
    <definedName name="_xlnm._FilterDatabase" localSheetId="1" hidden="1">'pivot tables'!$B$8:$B$8</definedName>
  </definedNames>
  <calcPr calcId="191028"/>
  <pivotCaches>
    <pivotCache cacheId="489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</calcChain>
</file>

<file path=xl/sharedStrings.xml><?xml version="1.0" encoding="utf-8"?>
<sst xmlns="http://schemas.openxmlformats.org/spreadsheetml/2006/main" count="256" uniqueCount="55">
  <si>
    <t>Date</t>
  </si>
  <si>
    <t>Machine Model</t>
  </si>
  <si>
    <t>Machine Type</t>
  </si>
  <si>
    <t>Repair Type</t>
  </si>
  <si>
    <t>Downtime Hours</t>
  </si>
  <si>
    <t>Repair Time Hours</t>
  </si>
  <si>
    <t>Parts Used</t>
  </si>
  <si>
    <t>Status</t>
  </si>
  <si>
    <t>2026-03-01</t>
  </si>
  <si>
    <t>PC2000</t>
  </si>
  <si>
    <t>Excavator</t>
  </si>
  <si>
    <t>Hydraulic Repair</t>
  </si>
  <si>
    <t>Scheduled</t>
  </si>
  <si>
    <t>CAT 789D</t>
  </si>
  <si>
    <t>Dump Truck</t>
  </si>
  <si>
    <t>Transmission Repair</t>
  </si>
  <si>
    <t>Completed</t>
  </si>
  <si>
    <t>2026-03-02</t>
  </si>
  <si>
    <t>CAT 785D</t>
  </si>
  <si>
    <t>Engine Maintenance</t>
  </si>
  <si>
    <t>In Progress</t>
  </si>
  <si>
    <t>Komatsu 785-5</t>
  </si>
  <si>
    <t>D10R</t>
  </si>
  <si>
    <t>Dozer</t>
  </si>
  <si>
    <t>Electrical Repair</t>
  </si>
  <si>
    <t>2026-03-03</t>
  </si>
  <si>
    <t>Liebherr DK25</t>
  </si>
  <si>
    <t>Drill</t>
  </si>
  <si>
    <t>Engine Repair</t>
  </si>
  <si>
    <t>Brake Repair</t>
  </si>
  <si>
    <t>2026-03-04</t>
  </si>
  <si>
    <t>2026-03-05</t>
  </si>
  <si>
    <t>PC3000</t>
  </si>
  <si>
    <t>2026-03-06</t>
  </si>
  <si>
    <t>D10T</t>
  </si>
  <si>
    <t>2026-03-07</t>
  </si>
  <si>
    <t>2026-03-08</t>
  </si>
  <si>
    <t>2026-03-09</t>
  </si>
  <si>
    <t>2026-03-11</t>
  </si>
  <si>
    <t>2026-03-12</t>
  </si>
  <si>
    <t>Hydraulic Maintenance</t>
  </si>
  <si>
    <t>2026-03-13</t>
  </si>
  <si>
    <t>2026-03-14</t>
  </si>
  <si>
    <t>2026-03-15</t>
  </si>
  <si>
    <t>Number of Repairs</t>
  </si>
  <si>
    <t>Grand Total</t>
  </si>
  <si>
    <t>total repairs</t>
  </si>
  <si>
    <t>average downtime</t>
  </si>
  <si>
    <t>average repairs</t>
  </si>
  <si>
    <t xml:space="preserve">Total Downtime </t>
  </si>
  <si>
    <t>total parts used</t>
  </si>
  <si>
    <t>Average of Repair Time Hours</t>
  </si>
  <si>
    <t>Count of Machine Model</t>
  </si>
  <si>
    <t>Operations Performance Dashboard</t>
  </si>
  <si>
    <t>BKE Enterprises – Mining Equipment Maintenance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</si>
</sst>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1" fillId="2" borderId="0" xfId="1"/>
    <xf numFmtId="164" fontId="1" fillId="2" borderId="0" xfId="1" applyNumberFormat="1"/>
    <xf numFmtId="1" fontId="1" fillId="2" borderId="0" xfId="1" applyNumberFormat="1"/>
    <xf numFmtId="0" fontId="1" fillId="0" borderId="0" xfId="0" applyFont="1"/>
    <xf numFmtId="1" fontId="1" fillId="0" borderId="0" xfId="0" applyNumberFormat="1" applyFont="1"/>
  </cellXfs>
  <cellStyles count="2">
    <cellStyle name="40% - Accent1" xfId="1" builtinId="31"/>
    <cellStyle name="Normal" xfId="0" builtinId="0"/>
  </cellStyles>
  <dxfs count="10">
    <dxf>
      <font>
        <b val="0"/>
        <name val="Calibri"/>
        <scheme val="minor"/>
      </font>
    </dxf>
    <dxf>
      <font>
        <b val="0"/>
        <name val="Calibri"/>
        <scheme val="minor"/>
      </font>
      <numFmt numFmtId="1" formatCode="0"/>
    </dxf>
    <dxf>
      <font>
        <b val="0"/>
        <name val="Calibri"/>
        <scheme val="minor"/>
      </font>
      <numFmt numFmtId="1" formatCode="0"/>
    </dxf>
    <dxf>
      <font>
        <b val="0"/>
        <name val="Calibri"/>
        <scheme val="minor"/>
      </font>
      <numFmt numFmtId="1" formatCode="0"/>
    </dxf>
    <dxf>
      <font>
        <b val="0"/>
        <name val="Calibri"/>
        <scheme val="minor"/>
      </font>
    </dxf>
    <dxf>
      <font>
        <b val="0"/>
        <name val="Calibri"/>
        <scheme val="minor"/>
      </font>
    </dxf>
    <dxf>
      <font>
        <b val="0"/>
        <name val="Calibri"/>
        <scheme val="minor"/>
      </font>
    </dxf>
    <dxf>
      <font>
        <b val="0"/>
        <name val="Calibri"/>
        <scheme val="minor"/>
      </font>
    </dxf>
    <dxf>
      <font>
        <b val="0"/>
        <name val="Calibri"/>
        <scheme val="minor"/>
      </font>
    </dxf>
    <dxf>
      <font>
        <b val="0"/>
        <name val="Calibri"/>
        <scheme val="minor"/>
      </font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[BKE_Maintenance_Data.xlsx]pivot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Machine Downtime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070C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tables'!$A$12:$A$26</c:f>
              <c:strCache>
                <c:ptCount val="14"/>
                <c:pt idx="0">
                  <c:v>2026-03-01</c:v>
                </c:pt>
                <c:pt idx="1">
                  <c:v>2026-03-02</c:v>
                </c:pt>
                <c:pt idx="2">
                  <c:v>2026-03-03</c:v>
                </c:pt>
                <c:pt idx="3">
                  <c:v>2026-03-04</c:v>
                </c:pt>
                <c:pt idx="4">
                  <c:v>2026-03-05</c:v>
                </c:pt>
                <c:pt idx="5">
                  <c:v>2026-03-06</c:v>
                </c:pt>
                <c:pt idx="6">
                  <c:v>2026-03-07</c:v>
                </c:pt>
                <c:pt idx="7">
                  <c:v>2026-03-08</c:v>
                </c:pt>
                <c:pt idx="8">
                  <c:v>2026-03-09</c:v>
                </c:pt>
                <c:pt idx="9">
                  <c:v>2026-03-11</c:v>
                </c:pt>
                <c:pt idx="10">
                  <c:v>2026-03-12</c:v>
                </c:pt>
                <c:pt idx="11">
                  <c:v>2026-03-13</c:v>
                </c:pt>
                <c:pt idx="12">
                  <c:v>2026-03-14</c:v>
                </c:pt>
                <c:pt idx="13">
                  <c:v>2026-03-15</c:v>
                </c:pt>
              </c:strCache>
            </c:strRef>
          </c:cat>
          <c:val>
            <c:numRef>
              <c:f>'pivot tables'!$B$12:$B$26</c:f>
              <c:numCache>
                <c:formatCode>0</c:formatCode>
                <c:ptCount val="14"/>
                <c:pt idx="0">
                  <c:v>27</c:v>
                </c:pt>
                <c:pt idx="1">
                  <c:v>23</c:v>
                </c:pt>
                <c:pt idx="2">
                  <c:v>32</c:v>
                </c:pt>
                <c:pt idx="3">
                  <c:v>20</c:v>
                </c:pt>
                <c:pt idx="4">
                  <c:v>20</c:v>
                </c:pt>
                <c:pt idx="5">
                  <c:v>15</c:v>
                </c:pt>
                <c:pt idx="6">
                  <c:v>32</c:v>
                </c:pt>
                <c:pt idx="7">
                  <c:v>37</c:v>
                </c:pt>
                <c:pt idx="8">
                  <c:v>7</c:v>
                </c:pt>
                <c:pt idx="9">
                  <c:v>45</c:v>
                </c:pt>
                <c:pt idx="10">
                  <c:v>19</c:v>
                </c:pt>
                <c:pt idx="11">
                  <c:v>12</c:v>
                </c:pt>
                <c:pt idx="12">
                  <c:v>63</c:v>
                </c:pt>
                <c:pt idx="1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A-44FA-BCD3-C6EC4BF81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225992"/>
        <c:axId val="1693228040"/>
      </c:lineChart>
      <c:catAx>
        <c:axId val="16932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28040"/>
        <c:crosses val="autoZero"/>
        <c:auto val="1"/>
        <c:lblAlgn val="ctr"/>
        <c:lblOffset val="100"/>
        <c:noMultiLvlLbl val="0"/>
      </c:catAx>
      <c:valAx>
        <c:axId val="169322804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2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[BKE_Maintenance_Data.xlsx]pivot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Repair Time by Machine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8575"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strRef>
              <c:f>'pivot tables'!$A$30:$A$38</c:f>
              <c:strCache>
                <c:ptCount val="8"/>
                <c:pt idx="0">
                  <c:v>CAT 785D</c:v>
                </c:pt>
                <c:pt idx="1">
                  <c:v>CAT 789D</c:v>
                </c:pt>
                <c:pt idx="2">
                  <c:v>D10R</c:v>
                </c:pt>
                <c:pt idx="3">
                  <c:v>D10T</c:v>
                </c:pt>
                <c:pt idx="4">
                  <c:v>Komatsu 785-5</c:v>
                </c:pt>
                <c:pt idx="5">
                  <c:v>Liebherr DK25</c:v>
                </c:pt>
                <c:pt idx="6">
                  <c:v>PC2000</c:v>
                </c:pt>
                <c:pt idx="7">
                  <c:v>PC3000</c:v>
                </c:pt>
              </c:strCache>
            </c:strRef>
          </c:cat>
          <c:val>
            <c:numRef>
              <c:f>'pivot tables'!$B$30:$B$38</c:f>
              <c:numCache>
                <c:formatCode>0</c:formatCode>
                <c:ptCount val="8"/>
                <c:pt idx="0">
                  <c:v>6.5714285714285712</c:v>
                </c:pt>
                <c:pt idx="1">
                  <c:v>10.333333333333334</c:v>
                </c:pt>
                <c:pt idx="2">
                  <c:v>10.166666666666666</c:v>
                </c:pt>
                <c:pt idx="3">
                  <c:v>6.2</c:v>
                </c:pt>
                <c:pt idx="4">
                  <c:v>6.1428571428571432</c:v>
                </c:pt>
                <c:pt idx="5">
                  <c:v>6.666666666666667</c:v>
                </c:pt>
                <c:pt idx="6">
                  <c:v>10.25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A-494B-957D-8707D411D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84295"/>
        <c:axId val="113486343"/>
      </c:barChart>
      <c:catAx>
        <c:axId val="113484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6343"/>
        <c:crosses val="autoZero"/>
        <c:auto val="1"/>
        <c:lblAlgn val="ctr"/>
        <c:lblOffset val="100"/>
        <c:noMultiLvlLbl val="0"/>
      </c:catAx>
      <c:valAx>
        <c:axId val="11348634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4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[BKE_Maintenance_Data.xlsx]pivot tables!PivotTable1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Maintenance Activity by Equipment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>
            <a:solidFill>
              <a:srgbClr val="0070C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8575"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Dozer</c:v>
                </c:pt>
                <c:pt idx="1">
                  <c:v>Drill</c:v>
                </c:pt>
                <c:pt idx="2">
                  <c:v>Dump Truck</c:v>
                </c:pt>
                <c:pt idx="3">
                  <c:v>Excavator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11</c:v>
                </c:pt>
                <c:pt idx="1">
                  <c:v>6</c:v>
                </c:pt>
                <c:pt idx="2">
                  <c:v>17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7-4681-A367-8F404F5CF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5042055"/>
        <c:axId val="1975047687"/>
      </c:barChart>
      <c:catAx>
        <c:axId val="1975042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47687"/>
        <c:crosses val="autoZero"/>
        <c:auto val="1"/>
        <c:lblAlgn val="ctr"/>
        <c:lblOffset val="100"/>
        <c:noMultiLvlLbl val="0"/>
      </c:catAx>
      <c:valAx>
        <c:axId val="1975047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42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[BKE_Maintenance_Data.xlsx]pivot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Maintenance Distribution by Equipment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66092"/>
          </a:solidFill>
          <a:ln w="19050">
            <a:solidFill>
              <a:srgbClr val="538DD5"/>
            </a:solidFill>
            <a:prstDash val="solid"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66092"/>
          </a:solidFill>
          <a:ln w="19050">
            <a:solidFill>
              <a:srgbClr val="8DB4E2"/>
            </a:solidFill>
            <a:prstDash val="solid"/>
          </a:ln>
          <a:effectLst/>
        </c:spPr>
      </c:pivotFmt>
      <c:pivotFmt>
        <c:idx val="2"/>
        <c:spPr>
          <a:solidFill>
            <a:srgbClr val="0070C0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3"/>
        <c:spPr>
          <a:solidFill>
            <a:srgbClr val="95B3D7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4"/>
        <c:spPr>
          <a:solidFill>
            <a:srgbClr val="4F81BD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5"/>
        <c:spPr>
          <a:solidFill>
            <a:srgbClr val="366092"/>
          </a:solidFill>
          <a:ln w="19050">
            <a:solidFill>
              <a:srgbClr val="538DD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F81BD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7"/>
        <c:spPr>
          <a:solidFill>
            <a:srgbClr val="366092"/>
          </a:solidFill>
          <a:ln w="19050">
            <a:solidFill>
              <a:srgbClr val="8DB4E2"/>
            </a:solidFill>
            <a:prstDash val="solid"/>
          </a:ln>
          <a:effectLst/>
        </c:spPr>
      </c:pivotFmt>
      <c:pivotFmt>
        <c:idx val="8"/>
        <c:spPr>
          <a:solidFill>
            <a:srgbClr val="0070C0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9"/>
        <c:spPr>
          <a:solidFill>
            <a:srgbClr val="95B3D7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10"/>
        <c:spPr>
          <a:solidFill>
            <a:srgbClr val="366092"/>
          </a:solidFill>
          <a:ln w="19050">
            <a:solidFill>
              <a:srgbClr val="538DD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4F81BD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12"/>
        <c:spPr>
          <a:solidFill>
            <a:srgbClr val="366092"/>
          </a:solidFill>
          <a:ln w="19050">
            <a:solidFill>
              <a:srgbClr val="8DB4E2"/>
            </a:solidFill>
            <a:prstDash val="solid"/>
          </a:ln>
          <a:effectLst/>
        </c:spPr>
      </c:pivotFmt>
      <c:pivotFmt>
        <c:idx val="13"/>
        <c:spPr>
          <a:solidFill>
            <a:srgbClr val="0070C0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14"/>
        <c:spPr>
          <a:solidFill>
            <a:srgbClr val="95B3D7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15"/>
        <c:spPr>
          <a:solidFill>
            <a:srgbClr val="366092"/>
          </a:solidFill>
          <a:ln w="19050">
            <a:solidFill>
              <a:srgbClr val="538DD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4F81BD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17"/>
        <c:spPr>
          <a:solidFill>
            <a:srgbClr val="366092"/>
          </a:solidFill>
          <a:ln w="19050">
            <a:solidFill>
              <a:srgbClr val="8DB4E2"/>
            </a:solidFill>
            <a:prstDash val="solid"/>
          </a:ln>
          <a:effectLst/>
        </c:spPr>
      </c:pivotFmt>
      <c:pivotFmt>
        <c:idx val="18"/>
        <c:spPr>
          <a:solidFill>
            <a:srgbClr val="0070C0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19"/>
        <c:spPr>
          <a:solidFill>
            <a:srgbClr val="95B3D7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20"/>
        <c:spPr>
          <a:solidFill>
            <a:srgbClr val="366092"/>
          </a:solidFill>
          <a:ln w="19050">
            <a:solidFill>
              <a:srgbClr val="538DD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4F81BD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22"/>
        <c:spPr>
          <a:solidFill>
            <a:srgbClr val="366092"/>
          </a:solidFill>
          <a:ln w="19050">
            <a:solidFill>
              <a:srgbClr val="8DB4E2"/>
            </a:solidFill>
            <a:prstDash val="solid"/>
          </a:ln>
          <a:effectLst/>
        </c:spPr>
      </c:pivotFmt>
      <c:pivotFmt>
        <c:idx val="23"/>
        <c:spPr>
          <a:solidFill>
            <a:srgbClr val="0070C0"/>
          </a:solidFill>
          <a:ln w="19050">
            <a:solidFill>
              <a:srgbClr val="538DD5"/>
            </a:solidFill>
            <a:prstDash val="solid"/>
          </a:ln>
          <a:effectLst/>
        </c:spPr>
      </c:pivotFmt>
      <c:pivotFmt>
        <c:idx val="24"/>
        <c:spPr>
          <a:solidFill>
            <a:srgbClr val="95B3D7"/>
          </a:solidFill>
          <a:ln w="19050">
            <a:solidFill>
              <a:srgbClr val="538DD5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66092"/>
            </a:solidFill>
            <a:ln>
              <a:solidFill>
                <a:srgbClr val="538DD5"/>
              </a:solidFill>
              <a:prstDash val="solid"/>
            </a:ln>
          </c:spPr>
          <c:dPt>
            <c:idx val="0"/>
            <c:bubble3D val="0"/>
            <c:spPr>
              <a:solidFill>
                <a:srgbClr val="4F81BD"/>
              </a:solidFill>
              <a:ln w="19050">
                <a:solidFill>
                  <a:srgbClr val="538DD5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8-4306-BF8F-7F9465D0EA2D}"/>
              </c:ext>
            </c:extLst>
          </c:dPt>
          <c:dPt>
            <c:idx val="1"/>
            <c:bubble3D val="0"/>
            <c:spPr>
              <a:solidFill>
                <a:srgbClr val="366092"/>
              </a:solidFill>
              <a:ln w="19050">
                <a:solidFill>
                  <a:srgbClr val="8DB4E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A8-4306-BF8F-7F9465D0EA2D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rgbClr val="538DD5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A8-4306-BF8F-7F9465D0EA2D}"/>
              </c:ext>
            </c:extLst>
          </c:dPt>
          <c:dPt>
            <c:idx val="3"/>
            <c:bubble3D val="0"/>
            <c:spPr>
              <a:solidFill>
                <a:srgbClr val="95B3D7"/>
              </a:solidFill>
              <a:ln w="19050">
                <a:solidFill>
                  <a:srgbClr val="538DD5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A8-4306-BF8F-7F9465D0EA2D}"/>
              </c:ext>
            </c:extLst>
          </c:dPt>
          <c:cat>
            <c:strRef>
              <c:f>'pivot tables'!$A$41:$A$45</c:f>
              <c:strCache>
                <c:ptCount val="4"/>
                <c:pt idx="0">
                  <c:v>Dozer</c:v>
                </c:pt>
                <c:pt idx="1">
                  <c:v>Drill</c:v>
                </c:pt>
                <c:pt idx="2">
                  <c:v>Dump Truck</c:v>
                </c:pt>
                <c:pt idx="3">
                  <c:v>Excavator</c:v>
                </c:pt>
              </c:strCache>
            </c:strRef>
          </c:cat>
          <c:val>
            <c:numRef>
              <c:f>'pivot tables'!$B$41:$B$45</c:f>
              <c:numCache>
                <c:formatCode>General</c:formatCode>
                <c:ptCount val="4"/>
                <c:pt idx="0">
                  <c:v>11</c:v>
                </c:pt>
                <c:pt idx="1">
                  <c:v>6</c:v>
                </c:pt>
                <c:pt idx="2">
                  <c:v>17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A8-4306-BF8F-7F9465D0E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11</xdr:row>
      <xdr:rowOff>28575</xdr:rowOff>
    </xdr:from>
    <xdr:to>
      <xdr:col>7</xdr:col>
      <xdr:colOff>276225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2DC51D-B9D4-4CCC-AF22-6208A29ACD73}"/>
            </a:ext>
            <a:ext uri="{147F2762-F138-4A5C-976F-8EAC2B608ADB}">
              <a16:predDERef xmlns:a16="http://schemas.microsoft.com/office/drawing/2014/main" pred="{D193993F-377D-D2B8-A49A-3D2FBD513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133350</xdr:colOff>
      <xdr:row>24</xdr:row>
      <xdr:rowOff>57150</xdr:rowOff>
    </xdr:from>
    <xdr:to>
      <xdr:col>7</xdr:col>
      <xdr:colOff>247650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453017-4C70-4854-BFE1-1AB6A398FCA4}"/>
            </a:ext>
            <a:ext uri="{147F2762-F138-4A5C-976F-8EAC2B608ADB}">
              <a16:predDERef xmlns:a16="http://schemas.microsoft.com/office/drawing/2014/main" pred="{942DC51D-B9D4-4CCC-AF22-6208A29AC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11</xdr:row>
      <xdr:rowOff>19050</xdr:rowOff>
    </xdr:from>
    <xdr:to>
      <xdr:col>1</xdr:col>
      <xdr:colOff>76200</xdr:colOff>
      <xdr:row>23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86AC8E-7889-49A2-93F3-AB60A3A9E4A1}"/>
            </a:ext>
            <a:ext uri="{147F2762-F138-4A5C-976F-8EAC2B608ADB}">
              <a16:predDERef xmlns:a16="http://schemas.microsoft.com/office/drawing/2014/main" pred="{FB453017-4C70-4854-BFE1-1AB6A398F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85725</xdr:colOff>
      <xdr:row>24</xdr:row>
      <xdr:rowOff>38100</xdr:rowOff>
    </xdr:from>
    <xdr:to>
      <xdr:col>1</xdr:col>
      <xdr:colOff>38100</xdr:colOff>
      <xdr:row>37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233861-AAB1-4302-93B1-42B5FC3A05D4}"/>
            </a:ext>
            <a:ext uri="{147F2762-F138-4A5C-976F-8EAC2B608ADB}">
              <a16:predDERef xmlns:a16="http://schemas.microsoft.com/office/drawing/2014/main" pred="{0786AC8E-7889-49A2-93F3-AB60A3A9E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</xdr:row>
      <xdr:rowOff>171450</xdr:rowOff>
    </xdr:from>
    <xdr:to>
      <xdr:col>0</xdr:col>
      <xdr:colOff>1724025</xdr:colOff>
      <xdr:row>10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58584A-9E8E-8ABA-2F5A-E61206BF4E9C}"/>
            </a:ext>
            <a:ext uri="{147F2762-F138-4A5C-976F-8EAC2B608ADB}">
              <a16:predDERef xmlns:a16="http://schemas.microsoft.com/office/drawing/2014/main" pred="{D4233861-AAB1-4302-93B1-42B5FC3A05D4}"/>
            </a:ext>
          </a:extLst>
        </xdr:cNvPr>
        <xdr:cNvSpPr txBox="1"/>
      </xdr:nvSpPr>
      <xdr:spPr>
        <a:xfrm>
          <a:off x="85725" y="1123950"/>
          <a:ext cx="1638300" cy="1266825"/>
        </a:xfrm>
        <a:prstGeom prst="rect">
          <a:avLst/>
        </a:prstGeom>
        <a:noFill/>
        <a:ln w="12700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Total Repairs 40</a:t>
          </a:r>
        </a:p>
      </xdr:txBody>
    </xdr:sp>
    <xdr:clientData/>
  </xdr:twoCellAnchor>
  <xdr:twoCellAnchor>
    <xdr:from>
      <xdr:col>0</xdr:col>
      <xdr:colOff>1838325</xdr:colOff>
      <xdr:row>3</xdr:row>
      <xdr:rowOff>171450</xdr:rowOff>
    </xdr:from>
    <xdr:to>
      <xdr:col>0</xdr:col>
      <xdr:colOff>3686175</xdr:colOff>
      <xdr:row>10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6EAA59-9AB9-4469-8E60-C74135641DF0}"/>
            </a:ext>
            <a:ext uri="{147F2762-F138-4A5C-976F-8EAC2B608ADB}">
              <a16:predDERef xmlns:a16="http://schemas.microsoft.com/office/drawing/2014/main" pred="{5858584A-9E8E-8ABA-2F5A-E61206BF4E9C}"/>
            </a:ext>
          </a:extLst>
        </xdr:cNvPr>
        <xdr:cNvSpPr txBox="1"/>
      </xdr:nvSpPr>
      <xdr:spPr>
        <a:xfrm>
          <a:off x="1838325" y="1123950"/>
          <a:ext cx="1847850" cy="1276350"/>
        </a:xfrm>
        <a:prstGeom prst="rect">
          <a:avLst/>
        </a:prstGeom>
        <a:noFill/>
        <a:ln w="12700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Downtime </a:t>
          </a:r>
        </a:p>
        <a:p>
          <a:pPr marL="0" indent="0" algn="ctr"/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 hours</a:t>
          </a:r>
        </a:p>
      </xdr:txBody>
    </xdr:sp>
    <xdr:clientData/>
  </xdr:twoCellAnchor>
  <xdr:twoCellAnchor>
    <xdr:from>
      <xdr:col>0</xdr:col>
      <xdr:colOff>3829050</xdr:colOff>
      <xdr:row>3</xdr:row>
      <xdr:rowOff>171450</xdr:rowOff>
    </xdr:from>
    <xdr:to>
      <xdr:col>3</xdr:col>
      <xdr:colOff>447675</xdr:colOff>
      <xdr:row>10</xdr:row>
      <xdr:rowOff>133350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FE9A01-E1E1-4CBF-A7B4-33D3BA66F281}"/>
            </a:ext>
            <a:ext uri="{147F2762-F138-4A5C-976F-8EAC2B608ADB}">
              <a16:predDERef xmlns:a16="http://schemas.microsoft.com/office/drawing/2014/main" pred="{1A6EAA59-9AB9-4469-8E60-C74135641DF0}"/>
            </a:ext>
          </a:extLst>
        </xdr:cNvPr>
        <xdr:cNvSpPr txBox="1"/>
      </xdr:nvSpPr>
      <xdr:spPr>
        <a:xfrm>
          <a:off x="3829050" y="1123950"/>
          <a:ext cx="2124075" cy="1295400"/>
        </a:xfrm>
        <a:prstGeom prst="rect">
          <a:avLst/>
        </a:prstGeom>
        <a:noFill/>
        <a:ln w="12700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Average Repair Time </a:t>
          </a:r>
        </a:p>
        <a:p>
          <a:pPr marL="0" indent="0" algn="ctr"/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 hours</a:t>
          </a:r>
        </a:p>
      </xdr:txBody>
    </xdr:sp>
    <xdr:clientData/>
  </xdr:twoCellAnchor>
  <xdr:twoCellAnchor>
    <xdr:from>
      <xdr:col>3</xdr:col>
      <xdr:colOff>542925</xdr:colOff>
      <xdr:row>3</xdr:row>
      <xdr:rowOff>161925</xdr:rowOff>
    </xdr:from>
    <xdr:to>
      <xdr:col>7</xdr:col>
      <xdr:colOff>295275</xdr:colOff>
      <xdr:row>10</xdr:row>
      <xdr:rowOff>142875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CED3BB5-3E1D-4E9E-AF83-7BE0C4D75712}"/>
            </a:ext>
            <a:ext uri="{147F2762-F138-4A5C-976F-8EAC2B608ADB}">
              <a16:predDERef xmlns:a16="http://schemas.microsoft.com/office/drawing/2014/main" pred="{E3FE9A01-E1E1-4CBF-A7B4-33D3BA66F281}"/>
            </a:ext>
          </a:extLst>
        </xdr:cNvPr>
        <xdr:cNvSpPr txBox="1"/>
      </xdr:nvSpPr>
      <xdr:spPr>
        <a:xfrm>
          <a:off x="6048375" y="1114425"/>
          <a:ext cx="2190750" cy="1314450"/>
        </a:xfrm>
        <a:prstGeom prst="rect">
          <a:avLst/>
        </a:prstGeom>
        <a:noFill/>
        <a:ln w="12700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Parts Used</a:t>
          </a:r>
        </a:p>
        <a:p>
          <a:pPr marL="0" indent="0" algn="ctr"/>
          <a:r>
            <a:rPr lang="en-US" sz="20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108</a:t>
          </a:r>
        </a:p>
      </xdr:txBody>
    </xdr:sp>
    <xdr:clientData/>
  </xdr:twoCellAnchor>
  <xdr:twoCellAnchor>
    <xdr:from>
      <xdr:col>7</xdr:col>
      <xdr:colOff>390525</xdr:colOff>
      <xdr:row>11</xdr:row>
      <xdr:rowOff>47625</xdr:rowOff>
    </xdr:from>
    <xdr:to>
      <xdr:col>12</xdr:col>
      <xdr:colOff>447675</xdr:colOff>
      <xdr:row>37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7E9CD1-18B9-41F9-835E-52100547A559}"/>
            </a:ext>
            <a:ext uri="{147F2762-F138-4A5C-976F-8EAC2B608ADB}">
              <a16:predDERef xmlns:a16="http://schemas.microsoft.com/office/drawing/2014/main" pred="{4CED3BB5-3E1D-4E9E-AF83-7BE0C4D75712}"/>
            </a:ext>
          </a:extLst>
        </xdr:cNvPr>
        <xdr:cNvSpPr txBox="1"/>
      </xdr:nvSpPr>
      <xdr:spPr>
        <a:xfrm>
          <a:off x="8334375" y="2524125"/>
          <a:ext cx="3105150" cy="4943475"/>
        </a:xfrm>
        <a:prstGeom prst="rect">
          <a:avLst/>
        </a:prstGeom>
        <a:solidFill>
          <a:srgbClr val="FFFFFF"/>
        </a:solidFill>
        <a:ln w="12700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Key Operational Insights:</a:t>
          </a: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Dump trucks recorded 17 repairs as the highest maintenance activity.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Total equipment downtime reached 373 hours, peaking on 14 March for 63 hours.</a:t>
          </a:r>
        </a:p>
        <a:p>
          <a:pPr marL="0" indent="0" algn="l"/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Average repair time across machines was 8 hours.</a:t>
          </a:r>
        </a:p>
        <a:p>
          <a:pPr marL="0" indent="0" algn="l"/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CAT 789D, D10R and PC2000 required the longest repairs.</a:t>
          </a:r>
        </a:p>
        <a:p>
          <a:pPr marL="0" indent="0" algn="l"/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Dozers recorded 11 repairs, the second highest maintenance load.</a:t>
          </a:r>
        </a:p>
      </xdr:txBody>
    </xdr:sp>
    <xdr:clientData/>
  </xdr:twoCellAnchor>
  <xdr:twoCellAnchor>
    <xdr:from>
      <xdr:col>0</xdr:col>
      <xdr:colOff>85725</xdr:colOff>
      <xdr:row>38</xdr:row>
      <xdr:rowOff>0</xdr:rowOff>
    </xdr:from>
    <xdr:to>
      <xdr:col>12</xdr:col>
      <xdr:colOff>428625</xdr:colOff>
      <xdr:row>49</xdr:row>
      <xdr:rowOff>133350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5E4C17-B7A0-4799-AB99-7D4FFDFA62EA}"/>
            </a:ext>
            <a:ext uri="{147F2762-F138-4A5C-976F-8EAC2B608ADB}">
              <a16:predDERef xmlns:a16="http://schemas.microsoft.com/office/drawing/2014/main" pred="{4B7E9CD1-18B9-41F9-835E-52100547A559}"/>
            </a:ext>
          </a:extLst>
        </xdr:cNvPr>
        <xdr:cNvSpPr txBox="1"/>
      </xdr:nvSpPr>
      <xdr:spPr>
        <a:xfrm>
          <a:off x="85725" y="7620000"/>
          <a:ext cx="11334750" cy="2228850"/>
        </a:xfrm>
        <a:prstGeom prst="rect">
          <a:avLst/>
        </a:prstGeom>
        <a:solidFill>
          <a:srgbClr val="FFFFFF"/>
        </a:solidFill>
        <a:ln w="12700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Operational Recommendation:</a:t>
          </a:r>
        </a:p>
        <a:p>
          <a:pPr marL="0" indent="0" algn="l"/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Implement preventive maintenance schedules for dump trucks to reduce frequent breakdowns and maintenance workload.</a:t>
          </a:r>
        </a:p>
        <a:p>
          <a:pPr marL="0" indent="0" algn="l"/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Investigate downtime spikes, particularly the high downtime recorded on 14 March, to identify root causes and prevent recurrence.</a:t>
          </a:r>
        </a:p>
        <a:p>
          <a:pPr marL="0" indent="0" algn="l"/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Prioritize maintenance planning for CAT 789D, D10R, and PC2000, as these machines recorded the longest repair times.</a:t>
          </a:r>
        </a:p>
        <a:p>
          <a:pPr marL="0" indent="0" algn="l"/>
          <a:endParaRPr lang="en-US" sz="1400" b="1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Maintain adequate inventory of critical spare parts to reduce repair delays and improve maintenance turnaround time.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3.54353599537" createdVersion="8" refreshedVersion="8" minRefreshableVersion="3" recordCount="40" xr:uid="{FBD5FB8D-D5F0-4D56-A127-A43C112F6B09}">
  <cacheSource type="worksheet">
    <worksheetSource name="Table1"/>
  </cacheSource>
  <cacheFields count="8">
    <cacheField name="Date" numFmtId="0">
      <sharedItems count="14">
        <s v="2026-03-01"/>
        <s v="2026-03-02"/>
        <s v="2026-03-03"/>
        <s v="2026-03-04"/>
        <s v="2026-03-05"/>
        <s v="2026-03-06"/>
        <s v="2026-03-07"/>
        <s v="2026-03-08"/>
        <s v="2026-03-09"/>
        <s v="2026-03-11"/>
        <s v="2026-03-12"/>
        <s v="2026-03-13"/>
        <s v="2026-03-14"/>
        <s v="2026-03-15"/>
      </sharedItems>
    </cacheField>
    <cacheField name="Machine Model" numFmtId="0">
      <sharedItems count="8">
        <s v="PC2000"/>
        <s v="CAT 789D"/>
        <s v="CAT 785D"/>
        <s v="Komatsu 785-5"/>
        <s v="D10R"/>
        <s v="Liebherr DK25"/>
        <s v="PC3000"/>
        <s v="D10T"/>
      </sharedItems>
    </cacheField>
    <cacheField name="Machine Type" numFmtId="0">
      <sharedItems count="4">
        <s v="Excavator"/>
        <s v="Dump Truck"/>
        <s v="Dozer"/>
        <s v="Drill"/>
      </sharedItems>
    </cacheField>
    <cacheField name="Repair Type" numFmtId="0">
      <sharedItems/>
    </cacheField>
    <cacheField name="Downtime Hours" numFmtId="1">
      <sharedItems containsSemiMixedTypes="0" containsString="0" containsNumber="1" containsInteger="1" minValue="3" maxValue="15"/>
    </cacheField>
    <cacheField name="Repair Time Hours" numFmtId="1">
      <sharedItems containsSemiMixedTypes="0" containsString="0" containsNumber="1" containsInteger="1" minValue="1" maxValue="14"/>
    </cacheField>
    <cacheField name="Parts Used" numFmtId="1">
      <sharedItems containsSemiMixedTypes="0" containsString="0" containsNumber="1" containsInteger="1" minValue="1" maxValue="4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s v="Hydraulic Repair"/>
    <n v="13"/>
    <n v="12"/>
    <n v="1"/>
    <s v="Scheduled"/>
  </r>
  <r>
    <x v="0"/>
    <x v="1"/>
    <x v="1"/>
    <s v="Transmission Repair"/>
    <n v="14"/>
    <n v="13"/>
    <n v="4"/>
    <s v="Completed"/>
  </r>
  <r>
    <x v="1"/>
    <x v="2"/>
    <x v="1"/>
    <s v="Engine Maintenance"/>
    <n v="3"/>
    <n v="1"/>
    <n v="4"/>
    <s v="In Progress"/>
  </r>
  <r>
    <x v="1"/>
    <x v="3"/>
    <x v="1"/>
    <s v="Engine Maintenance"/>
    <n v="8"/>
    <n v="7"/>
    <n v="4"/>
    <s v="Completed"/>
  </r>
  <r>
    <x v="1"/>
    <x v="4"/>
    <x v="2"/>
    <s v="Electrical Repair"/>
    <n v="12"/>
    <n v="11"/>
    <n v="2"/>
    <s v="Completed"/>
  </r>
  <r>
    <x v="2"/>
    <x v="5"/>
    <x v="3"/>
    <s v="Transmission Repair"/>
    <n v="9"/>
    <n v="7"/>
    <n v="4"/>
    <s v="Scheduled"/>
  </r>
  <r>
    <x v="2"/>
    <x v="3"/>
    <x v="1"/>
    <s v="Engine Repair"/>
    <n v="9"/>
    <n v="8"/>
    <n v="2"/>
    <s v="Completed"/>
  </r>
  <r>
    <x v="2"/>
    <x v="0"/>
    <x v="0"/>
    <s v="Brake Repair"/>
    <n v="14"/>
    <n v="11"/>
    <n v="3"/>
    <s v="Completed"/>
  </r>
  <r>
    <x v="3"/>
    <x v="3"/>
    <x v="1"/>
    <s v="Hydraulic Repair"/>
    <n v="14"/>
    <n v="13"/>
    <n v="3"/>
    <s v="In Progress"/>
  </r>
  <r>
    <x v="3"/>
    <x v="3"/>
    <x v="1"/>
    <s v="Electrical Repair"/>
    <n v="3"/>
    <n v="1"/>
    <n v="3"/>
    <s v="Completed"/>
  </r>
  <r>
    <x v="3"/>
    <x v="2"/>
    <x v="1"/>
    <s v="Engine Repair"/>
    <n v="3"/>
    <n v="1"/>
    <n v="4"/>
    <s v="Completed"/>
  </r>
  <r>
    <x v="4"/>
    <x v="6"/>
    <x v="0"/>
    <s v="Transmission Repair"/>
    <n v="9"/>
    <n v="6"/>
    <n v="2"/>
    <s v="In Progress"/>
  </r>
  <r>
    <x v="4"/>
    <x v="2"/>
    <x v="1"/>
    <s v="Engine Repair"/>
    <n v="11"/>
    <n v="10"/>
    <n v="2"/>
    <s v="Completed"/>
  </r>
  <r>
    <x v="5"/>
    <x v="5"/>
    <x v="3"/>
    <s v="Engine Maintenance"/>
    <n v="5"/>
    <n v="4"/>
    <n v="2"/>
    <s v="Scheduled"/>
  </r>
  <r>
    <x v="5"/>
    <x v="7"/>
    <x v="2"/>
    <s v="Hydraulic Repair"/>
    <n v="5"/>
    <n v="3"/>
    <n v="2"/>
    <s v="Scheduled"/>
  </r>
  <r>
    <x v="5"/>
    <x v="2"/>
    <x v="1"/>
    <s v="Engine Repair"/>
    <n v="5"/>
    <n v="3"/>
    <n v="4"/>
    <s v="Completed"/>
  </r>
  <r>
    <x v="6"/>
    <x v="5"/>
    <x v="3"/>
    <s v="Transmission Repair"/>
    <n v="9"/>
    <n v="8"/>
    <n v="2"/>
    <s v="In Progress"/>
  </r>
  <r>
    <x v="6"/>
    <x v="1"/>
    <x v="1"/>
    <s v="Engine Repair"/>
    <n v="15"/>
    <n v="12"/>
    <n v="4"/>
    <s v="Completed"/>
  </r>
  <r>
    <x v="6"/>
    <x v="5"/>
    <x v="3"/>
    <s v="Transmission Repair"/>
    <n v="8"/>
    <n v="7"/>
    <n v="2"/>
    <s v="Scheduled"/>
  </r>
  <r>
    <x v="7"/>
    <x v="7"/>
    <x v="2"/>
    <s v="Brake Repair"/>
    <n v="12"/>
    <n v="10"/>
    <n v="3"/>
    <s v="Completed"/>
  </r>
  <r>
    <x v="7"/>
    <x v="4"/>
    <x v="2"/>
    <s v="Electrical Repair"/>
    <n v="12"/>
    <n v="11"/>
    <n v="1"/>
    <s v="Completed"/>
  </r>
  <r>
    <x v="7"/>
    <x v="4"/>
    <x v="2"/>
    <s v="Electrical Repair"/>
    <n v="13"/>
    <n v="10"/>
    <n v="2"/>
    <s v="Completed"/>
  </r>
  <r>
    <x v="8"/>
    <x v="0"/>
    <x v="0"/>
    <s v="Electrical Repair"/>
    <n v="7"/>
    <n v="5"/>
    <n v="2"/>
    <s v="Completed"/>
  </r>
  <r>
    <x v="9"/>
    <x v="4"/>
    <x v="2"/>
    <s v="Engine Maintenance"/>
    <n v="15"/>
    <n v="14"/>
    <n v="2"/>
    <s v="In Progress"/>
  </r>
  <r>
    <x v="9"/>
    <x v="2"/>
    <x v="1"/>
    <s v="Transmission Repair"/>
    <n v="13"/>
    <n v="12"/>
    <n v="3"/>
    <s v="Completed"/>
  </r>
  <r>
    <x v="9"/>
    <x v="7"/>
    <x v="2"/>
    <s v="Electrical Repair"/>
    <n v="5"/>
    <n v="2"/>
    <n v="4"/>
    <s v="Completed"/>
  </r>
  <r>
    <x v="9"/>
    <x v="3"/>
    <x v="1"/>
    <s v="Engine Repair"/>
    <n v="3"/>
    <n v="1"/>
    <n v="1"/>
    <s v="In Progress"/>
  </r>
  <r>
    <x v="9"/>
    <x v="2"/>
    <x v="1"/>
    <s v="Hydraulic Repair"/>
    <n v="9"/>
    <n v="8"/>
    <n v="4"/>
    <s v="Completed"/>
  </r>
  <r>
    <x v="10"/>
    <x v="5"/>
    <x v="3"/>
    <s v="Hydraulic Maintenance"/>
    <n v="6"/>
    <n v="4"/>
    <n v="2"/>
    <s v="Completed"/>
  </r>
  <r>
    <x v="10"/>
    <x v="7"/>
    <x v="2"/>
    <s v="Brake Repair"/>
    <n v="13"/>
    <n v="12"/>
    <n v="3"/>
    <s v="Completed"/>
  </r>
  <r>
    <x v="11"/>
    <x v="5"/>
    <x v="3"/>
    <s v="Transmission Repair"/>
    <n v="12"/>
    <n v="10"/>
    <n v="4"/>
    <s v="Completed"/>
  </r>
  <r>
    <x v="12"/>
    <x v="2"/>
    <x v="1"/>
    <s v="Engine Maintenance"/>
    <n v="14"/>
    <n v="11"/>
    <n v="3"/>
    <s v="Completed"/>
  </r>
  <r>
    <x v="12"/>
    <x v="7"/>
    <x v="2"/>
    <s v="Hydraulic Repair"/>
    <n v="7"/>
    <n v="4"/>
    <n v="2"/>
    <s v="Completed"/>
  </r>
  <r>
    <x v="12"/>
    <x v="1"/>
    <x v="1"/>
    <s v="Hydraulic Repair"/>
    <n v="9"/>
    <n v="6"/>
    <n v="2"/>
    <s v="In Progress"/>
  </r>
  <r>
    <x v="12"/>
    <x v="4"/>
    <x v="2"/>
    <s v="Electrical Repair"/>
    <n v="7"/>
    <n v="6"/>
    <n v="4"/>
    <s v="Scheduled"/>
  </r>
  <r>
    <x v="12"/>
    <x v="4"/>
    <x v="2"/>
    <s v="Engine Maintenance"/>
    <n v="12"/>
    <n v="9"/>
    <n v="2"/>
    <s v="Scheduled"/>
  </r>
  <r>
    <x v="12"/>
    <x v="3"/>
    <x v="1"/>
    <s v="Engine Repair"/>
    <n v="14"/>
    <n v="11"/>
    <n v="4"/>
    <s v="Completed"/>
  </r>
  <r>
    <x v="13"/>
    <x v="0"/>
    <x v="0"/>
    <s v="Transmission Repair"/>
    <n v="14"/>
    <n v="13"/>
    <n v="1"/>
    <s v="Completed"/>
  </r>
  <r>
    <x v="13"/>
    <x v="3"/>
    <x v="1"/>
    <s v="Transmission Repair"/>
    <n v="4"/>
    <n v="2"/>
    <n v="4"/>
    <s v="Completed"/>
  </r>
  <r>
    <x v="13"/>
    <x v="6"/>
    <x v="0"/>
    <s v="Hydraulic Repair"/>
    <n v="3"/>
    <n v="1"/>
    <n v="1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59D91-4241-4005-8EEF-8DBE8AC838C5}" name="PivotTable4" cacheId="48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40:B45" firstHeaderRow="1" firstDataRow="1" firstDataCol="1"/>
  <pivotFields count="8">
    <pivotField compact="0" outline="0" showAll="0"/>
    <pivotField dataField="1"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achine Model" fld="1" subtotal="count" baseField="0" baseItem="0"/>
  </dataFields>
  <chartFormats count="30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CAF95-4A63-4F6F-BB7B-10B0EB47072E}" name="PivotTable3" cacheId="48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9:B38" firstHeaderRow="1" firstDataRow="1" firstDataCol="1"/>
  <pivotFields count="8">
    <pivotField compact="0" outline="0" showAll="0"/>
    <pivotField axis="axisRow" compact="0" outline="0" showAll="0">
      <items count="9">
        <item x="2"/>
        <item x="1"/>
        <item x="4"/>
        <item x="7"/>
        <item x="3"/>
        <item x="5"/>
        <item x="0"/>
        <item x="6"/>
        <item t="default"/>
      </items>
    </pivotField>
    <pivotField compact="0" outline="0" showAll="0"/>
    <pivotField compact="0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Repair Time Hours" fld="5" subtotal="average" baseField="0" baseItem="0" numFmtId="1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3F056-4A1E-4D33-A903-BCE46F87C6A6}" name="PivotTable2" cacheId="48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1:B26" firstHeaderRow="1" firstDataRow="1" firstDataCol="1"/>
  <pivotFields count="8"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Total Downtime " fld="4" baseField="0" baseItem="0" numFmtId="1"/>
  </dataField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89F59-E142-497B-88A7-94A1909B1DBF}" name="PivotTable1" cacheId="48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1:B6" firstHeaderRow="1" firstDataRow="1" firstDataCol="1"/>
  <pivotFields count="8">
    <pivotField compact="0" outline="0" showAll="0"/>
    <pivotField dataField="1"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Repairs" fld="1" subtotal="count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D8D71-43C1-4F5C-A49F-4B155B616A55}" name="Table1" displayName="Table1" ref="A1:H41" totalsRowShown="0" headerRowDxfId="9" dataDxfId="8">
  <autoFilter ref="A1:H41" xr:uid="{FC1D8D71-43C1-4F5C-A49F-4B155B616A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:H41">
    <sortCondition ref="A1:A41"/>
  </sortState>
  <tableColumns count="8">
    <tableColumn id="1" xr3:uid="{1CA81634-B800-47B2-99FF-9E99F184DC99}" name="Date" dataDxfId="7"/>
    <tableColumn id="2" xr3:uid="{D24F9EA5-F909-49C3-ABA2-AB097CFC0B20}" name="Machine Model" dataDxfId="6"/>
    <tableColumn id="3" xr3:uid="{6F21D021-3B8A-4127-AE67-A696E191190E}" name="Machine Type" dataDxfId="5"/>
    <tableColumn id="4" xr3:uid="{854FA56B-A9DC-4E42-BDA0-44E42AA00600}" name="Repair Type" dataDxfId="4"/>
    <tableColumn id="5" xr3:uid="{0DB1565F-8515-42D3-8B46-017F16E413CE}" name="Downtime Hours" dataDxfId="3"/>
    <tableColumn id="6" xr3:uid="{8E76B597-903A-4100-B5D3-EFBA1B8F4406}" name="Repair Time Hours" dataDxfId="2"/>
    <tableColumn id="7" xr3:uid="{118F911A-9C31-4A25-AC1A-4FDF87425243}" name="Parts Used" dataDxfId="1"/>
    <tableColumn id="8" xr3:uid="{54CFEAD7-FD5C-4407-9EF0-19F982AAD501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J14" sqref="J14"/>
    </sheetView>
  </sheetViews>
  <sheetFormatPr defaultRowHeight="15"/>
  <cols>
    <col min="1" max="1" width="10.85546875" bestFit="1" customWidth="1"/>
    <col min="2" max="2" width="17.140625" bestFit="1" customWidth="1"/>
    <col min="3" max="3" width="15.7109375" bestFit="1" customWidth="1"/>
    <col min="4" max="4" width="21.140625" bestFit="1" customWidth="1"/>
    <col min="5" max="5" width="18.28515625" bestFit="1" customWidth="1"/>
    <col min="6" max="6" width="19.5703125" bestFit="1" customWidth="1"/>
    <col min="7" max="7" width="12.7109375" bestFit="1" customWidth="1"/>
    <col min="8" max="8" width="10.42578125" bestFit="1" customWidth="1"/>
  </cols>
  <sheetData>
    <row r="1" spans="1: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>
      <c r="A2" s="10" t="s">
        <v>8</v>
      </c>
      <c r="B2" s="10" t="s">
        <v>9</v>
      </c>
      <c r="C2" s="10" t="s">
        <v>10</v>
      </c>
      <c r="D2" s="10" t="s">
        <v>11</v>
      </c>
      <c r="E2" s="11">
        <v>13</v>
      </c>
      <c r="F2" s="11">
        <v>12</v>
      </c>
      <c r="G2" s="11">
        <v>1</v>
      </c>
      <c r="H2" s="10" t="s">
        <v>12</v>
      </c>
    </row>
    <row r="3" spans="1:8">
      <c r="A3" s="10" t="s">
        <v>8</v>
      </c>
      <c r="B3" s="10" t="s">
        <v>13</v>
      </c>
      <c r="C3" s="10" t="s">
        <v>14</v>
      </c>
      <c r="D3" s="10" t="s">
        <v>15</v>
      </c>
      <c r="E3" s="11">
        <v>14</v>
      </c>
      <c r="F3" s="11">
        <v>13</v>
      </c>
      <c r="G3" s="11">
        <v>4</v>
      </c>
      <c r="H3" s="10" t="s">
        <v>16</v>
      </c>
    </row>
    <row r="4" spans="1:8">
      <c r="A4" s="10" t="s">
        <v>17</v>
      </c>
      <c r="B4" s="10" t="s">
        <v>18</v>
      </c>
      <c r="C4" s="10" t="s">
        <v>14</v>
      </c>
      <c r="D4" s="10" t="s">
        <v>19</v>
      </c>
      <c r="E4" s="11">
        <v>3</v>
      </c>
      <c r="F4" s="11">
        <v>1</v>
      </c>
      <c r="G4" s="11">
        <v>4</v>
      </c>
      <c r="H4" s="10" t="s">
        <v>20</v>
      </c>
    </row>
    <row r="5" spans="1:8">
      <c r="A5" s="10" t="s">
        <v>17</v>
      </c>
      <c r="B5" s="10" t="s">
        <v>21</v>
      </c>
      <c r="C5" s="10" t="s">
        <v>14</v>
      </c>
      <c r="D5" s="10" t="s">
        <v>19</v>
      </c>
      <c r="E5" s="11">
        <v>8</v>
      </c>
      <c r="F5" s="11">
        <v>7</v>
      </c>
      <c r="G5" s="11">
        <v>4</v>
      </c>
      <c r="H5" s="10" t="s">
        <v>16</v>
      </c>
    </row>
    <row r="6" spans="1:8">
      <c r="A6" s="10" t="s">
        <v>17</v>
      </c>
      <c r="B6" s="10" t="s">
        <v>22</v>
      </c>
      <c r="C6" s="10" t="s">
        <v>23</v>
      </c>
      <c r="D6" s="10" t="s">
        <v>24</v>
      </c>
      <c r="E6" s="11">
        <v>12</v>
      </c>
      <c r="F6" s="11">
        <v>11</v>
      </c>
      <c r="G6" s="11">
        <v>2</v>
      </c>
      <c r="H6" s="10" t="s">
        <v>16</v>
      </c>
    </row>
    <row r="7" spans="1:8">
      <c r="A7" s="10" t="s">
        <v>25</v>
      </c>
      <c r="B7" s="10" t="s">
        <v>26</v>
      </c>
      <c r="C7" s="10" t="s">
        <v>27</v>
      </c>
      <c r="D7" s="10" t="s">
        <v>15</v>
      </c>
      <c r="E7" s="11">
        <v>9</v>
      </c>
      <c r="F7" s="11">
        <v>7</v>
      </c>
      <c r="G7" s="11">
        <v>4</v>
      </c>
      <c r="H7" s="10" t="s">
        <v>12</v>
      </c>
    </row>
    <row r="8" spans="1:8">
      <c r="A8" s="10" t="s">
        <v>25</v>
      </c>
      <c r="B8" s="10" t="s">
        <v>21</v>
      </c>
      <c r="C8" s="10" t="s">
        <v>14</v>
      </c>
      <c r="D8" s="10" t="s">
        <v>28</v>
      </c>
      <c r="E8" s="11">
        <v>9</v>
      </c>
      <c r="F8" s="11">
        <v>8</v>
      </c>
      <c r="G8" s="11">
        <v>2</v>
      </c>
      <c r="H8" s="10" t="s">
        <v>16</v>
      </c>
    </row>
    <row r="9" spans="1:8">
      <c r="A9" s="10" t="s">
        <v>25</v>
      </c>
      <c r="B9" s="10" t="s">
        <v>9</v>
      </c>
      <c r="C9" s="10" t="s">
        <v>10</v>
      </c>
      <c r="D9" s="10" t="s">
        <v>29</v>
      </c>
      <c r="E9" s="11">
        <v>14</v>
      </c>
      <c r="F9" s="11">
        <v>11</v>
      </c>
      <c r="G9" s="11">
        <v>3</v>
      </c>
      <c r="H9" s="10" t="s">
        <v>16</v>
      </c>
    </row>
    <row r="10" spans="1:8">
      <c r="A10" s="10" t="s">
        <v>30</v>
      </c>
      <c r="B10" s="10" t="s">
        <v>21</v>
      </c>
      <c r="C10" s="10" t="s">
        <v>14</v>
      </c>
      <c r="D10" s="10" t="s">
        <v>11</v>
      </c>
      <c r="E10" s="11">
        <v>14</v>
      </c>
      <c r="F10" s="11">
        <v>13</v>
      </c>
      <c r="G10" s="11">
        <v>3</v>
      </c>
      <c r="H10" s="10" t="s">
        <v>20</v>
      </c>
    </row>
    <row r="11" spans="1:8">
      <c r="A11" s="10" t="s">
        <v>30</v>
      </c>
      <c r="B11" s="10" t="s">
        <v>21</v>
      </c>
      <c r="C11" s="10" t="s">
        <v>14</v>
      </c>
      <c r="D11" s="10" t="s">
        <v>24</v>
      </c>
      <c r="E11" s="11">
        <v>3</v>
      </c>
      <c r="F11" s="11">
        <v>1</v>
      </c>
      <c r="G11" s="11">
        <v>3</v>
      </c>
      <c r="H11" s="10" t="s">
        <v>16</v>
      </c>
    </row>
    <row r="12" spans="1:8">
      <c r="A12" s="10" t="s">
        <v>30</v>
      </c>
      <c r="B12" s="10" t="s">
        <v>18</v>
      </c>
      <c r="C12" s="10" t="s">
        <v>14</v>
      </c>
      <c r="D12" s="10" t="s">
        <v>28</v>
      </c>
      <c r="E12" s="11">
        <v>3</v>
      </c>
      <c r="F12" s="11">
        <v>1</v>
      </c>
      <c r="G12" s="11">
        <v>4</v>
      </c>
      <c r="H12" s="10" t="s">
        <v>16</v>
      </c>
    </row>
    <row r="13" spans="1:8">
      <c r="A13" s="10" t="s">
        <v>31</v>
      </c>
      <c r="B13" s="10" t="s">
        <v>32</v>
      </c>
      <c r="C13" s="10" t="s">
        <v>10</v>
      </c>
      <c r="D13" s="10" t="s">
        <v>15</v>
      </c>
      <c r="E13" s="11">
        <v>9</v>
      </c>
      <c r="F13" s="11">
        <v>6</v>
      </c>
      <c r="G13" s="11">
        <v>2</v>
      </c>
      <c r="H13" s="10" t="s">
        <v>20</v>
      </c>
    </row>
    <row r="14" spans="1:8">
      <c r="A14" s="10" t="s">
        <v>31</v>
      </c>
      <c r="B14" s="10" t="s">
        <v>18</v>
      </c>
      <c r="C14" s="10" t="s">
        <v>14</v>
      </c>
      <c r="D14" s="10" t="s">
        <v>28</v>
      </c>
      <c r="E14" s="11">
        <v>11</v>
      </c>
      <c r="F14" s="11">
        <v>10</v>
      </c>
      <c r="G14" s="11">
        <v>2</v>
      </c>
      <c r="H14" s="10" t="s">
        <v>16</v>
      </c>
    </row>
    <row r="15" spans="1:8">
      <c r="A15" s="10" t="s">
        <v>33</v>
      </c>
      <c r="B15" s="10" t="s">
        <v>26</v>
      </c>
      <c r="C15" s="10" t="s">
        <v>27</v>
      </c>
      <c r="D15" s="10" t="s">
        <v>19</v>
      </c>
      <c r="E15" s="11">
        <v>5</v>
      </c>
      <c r="F15" s="11">
        <v>4</v>
      </c>
      <c r="G15" s="11">
        <v>2</v>
      </c>
      <c r="H15" s="10" t="s">
        <v>12</v>
      </c>
    </row>
    <row r="16" spans="1:8">
      <c r="A16" s="10" t="s">
        <v>33</v>
      </c>
      <c r="B16" s="10" t="s">
        <v>34</v>
      </c>
      <c r="C16" s="10" t="s">
        <v>23</v>
      </c>
      <c r="D16" s="10" t="s">
        <v>11</v>
      </c>
      <c r="E16" s="11">
        <v>5</v>
      </c>
      <c r="F16" s="11">
        <v>3</v>
      </c>
      <c r="G16" s="11">
        <v>2</v>
      </c>
      <c r="H16" s="10" t="s">
        <v>12</v>
      </c>
    </row>
    <row r="17" spans="1:8">
      <c r="A17" s="10" t="s">
        <v>33</v>
      </c>
      <c r="B17" s="10" t="s">
        <v>18</v>
      </c>
      <c r="C17" s="10" t="s">
        <v>14</v>
      </c>
      <c r="D17" s="10" t="s">
        <v>28</v>
      </c>
      <c r="E17" s="11">
        <v>5</v>
      </c>
      <c r="F17" s="11">
        <v>3</v>
      </c>
      <c r="G17" s="11">
        <v>4</v>
      </c>
      <c r="H17" s="10" t="s">
        <v>16</v>
      </c>
    </row>
    <row r="18" spans="1:8">
      <c r="A18" s="10" t="s">
        <v>35</v>
      </c>
      <c r="B18" s="10" t="s">
        <v>26</v>
      </c>
      <c r="C18" s="10" t="s">
        <v>27</v>
      </c>
      <c r="D18" s="10" t="s">
        <v>15</v>
      </c>
      <c r="E18" s="11">
        <v>9</v>
      </c>
      <c r="F18" s="11">
        <v>8</v>
      </c>
      <c r="G18" s="11">
        <v>2</v>
      </c>
      <c r="H18" s="10" t="s">
        <v>20</v>
      </c>
    </row>
    <row r="19" spans="1:8">
      <c r="A19" s="10" t="s">
        <v>35</v>
      </c>
      <c r="B19" s="10" t="s">
        <v>13</v>
      </c>
      <c r="C19" s="10" t="s">
        <v>14</v>
      </c>
      <c r="D19" s="10" t="s">
        <v>28</v>
      </c>
      <c r="E19" s="11">
        <v>15</v>
      </c>
      <c r="F19" s="11">
        <v>12</v>
      </c>
      <c r="G19" s="11">
        <v>4</v>
      </c>
      <c r="H19" s="10" t="s">
        <v>16</v>
      </c>
    </row>
    <row r="20" spans="1:8">
      <c r="A20" s="10" t="s">
        <v>35</v>
      </c>
      <c r="B20" s="10" t="s">
        <v>26</v>
      </c>
      <c r="C20" s="10" t="s">
        <v>27</v>
      </c>
      <c r="D20" s="10" t="s">
        <v>15</v>
      </c>
      <c r="E20" s="11">
        <v>8</v>
      </c>
      <c r="F20" s="11">
        <v>7</v>
      </c>
      <c r="G20" s="11">
        <v>2</v>
      </c>
      <c r="H20" s="10" t="s">
        <v>12</v>
      </c>
    </row>
    <row r="21" spans="1:8">
      <c r="A21" s="10" t="s">
        <v>36</v>
      </c>
      <c r="B21" s="10" t="s">
        <v>34</v>
      </c>
      <c r="C21" s="10" t="s">
        <v>23</v>
      </c>
      <c r="D21" s="10" t="s">
        <v>29</v>
      </c>
      <c r="E21" s="11">
        <v>12</v>
      </c>
      <c r="F21" s="11">
        <v>10</v>
      </c>
      <c r="G21" s="11">
        <v>3</v>
      </c>
      <c r="H21" s="10" t="s">
        <v>16</v>
      </c>
    </row>
    <row r="22" spans="1:8">
      <c r="A22" s="10" t="s">
        <v>36</v>
      </c>
      <c r="B22" s="10" t="s">
        <v>22</v>
      </c>
      <c r="C22" s="10" t="s">
        <v>23</v>
      </c>
      <c r="D22" s="10" t="s">
        <v>24</v>
      </c>
      <c r="E22" s="11">
        <v>12</v>
      </c>
      <c r="F22" s="11">
        <v>11</v>
      </c>
      <c r="G22" s="11">
        <v>1</v>
      </c>
      <c r="H22" s="10" t="s">
        <v>16</v>
      </c>
    </row>
    <row r="23" spans="1:8">
      <c r="A23" s="10" t="s">
        <v>36</v>
      </c>
      <c r="B23" s="10" t="s">
        <v>22</v>
      </c>
      <c r="C23" s="10" t="s">
        <v>23</v>
      </c>
      <c r="D23" s="10" t="s">
        <v>24</v>
      </c>
      <c r="E23" s="11">
        <v>13</v>
      </c>
      <c r="F23" s="11">
        <v>10</v>
      </c>
      <c r="G23" s="11">
        <v>2</v>
      </c>
      <c r="H23" s="10" t="s">
        <v>16</v>
      </c>
    </row>
    <row r="24" spans="1:8">
      <c r="A24" s="10" t="s">
        <v>37</v>
      </c>
      <c r="B24" s="10" t="s">
        <v>9</v>
      </c>
      <c r="C24" s="10" t="s">
        <v>10</v>
      </c>
      <c r="D24" s="10" t="s">
        <v>24</v>
      </c>
      <c r="E24" s="11">
        <v>7</v>
      </c>
      <c r="F24" s="11">
        <v>5</v>
      </c>
      <c r="G24" s="11">
        <v>2</v>
      </c>
      <c r="H24" s="10" t="s">
        <v>16</v>
      </c>
    </row>
    <row r="25" spans="1:8">
      <c r="A25" s="10" t="s">
        <v>38</v>
      </c>
      <c r="B25" s="10" t="s">
        <v>22</v>
      </c>
      <c r="C25" s="10" t="s">
        <v>23</v>
      </c>
      <c r="D25" s="10" t="s">
        <v>19</v>
      </c>
      <c r="E25" s="11">
        <v>15</v>
      </c>
      <c r="F25" s="11">
        <v>14</v>
      </c>
      <c r="G25" s="11">
        <v>2</v>
      </c>
      <c r="H25" s="10" t="s">
        <v>20</v>
      </c>
    </row>
    <row r="26" spans="1:8">
      <c r="A26" s="10" t="s">
        <v>38</v>
      </c>
      <c r="B26" s="10" t="s">
        <v>18</v>
      </c>
      <c r="C26" s="10" t="s">
        <v>14</v>
      </c>
      <c r="D26" s="10" t="s">
        <v>15</v>
      </c>
      <c r="E26" s="11">
        <v>13</v>
      </c>
      <c r="F26" s="11">
        <v>12</v>
      </c>
      <c r="G26" s="11">
        <v>3</v>
      </c>
      <c r="H26" s="10" t="s">
        <v>16</v>
      </c>
    </row>
    <row r="27" spans="1:8">
      <c r="A27" s="10" t="s">
        <v>38</v>
      </c>
      <c r="B27" s="10" t="s">
        <v>34</v>
      </c>
      <c r="C27" s="10" t="s">
        <v>23</v>
      </c>
      <c r="D27" s="10" t="s">
        <v>24</v>
      </c>
      <c r="E27" s="11">
        <v>5</v>
      </c>
      <c r="F27" s="11">
        <v>2</v>
      </c>
      <c r="G27" s="11">
        <v>4</v>
      </c>
      <c r="H27" s="10" t="s">
        <v>16</v>
      </c>
    </row>
    <row r="28" spans="1:8">
      <c r="A28" s="10" t="s">
        <v>38</v>
      </c>
      <c r="B28" s="10" t="s">
        <v>21</v>
      </c>
      <c r="C28" s="10" t="s">
        <v>14</v>
      </c>
      <c r="D28" s="10" t="s">
        <v>28</v>
      </c>
      <c r="E28" s="11">
        <v>3</v>
      </c>
      <c r="F28" s="11">
        <v>1</v>
      </c>
      <c r="G28" s="11">
        <v>1</v>
      </c>
      <c r="H28" s="10" t="s">
        <v>20</v>
      </c>
    </row>
    <row r="29" spans="1:8">
      <c r="A29" s="10" t="s">
        <v>38</v>
      </c>
      <c r="B29" s="10" t="s">
        <v>18</v>
      </c>
      <c r="C29" s="10" t="s">
        <v>14</v>
      </c>
      <c r="D29" s="10" t="s">
        <v>11</v>
      </c>
      <c r="E29" s="11">
        <v>9</v>
      </c>
      <c r="F29" s="11">
        <v>8</v>
      </c>
      <c r="G29" s="11">
        <v>4</v>
      </c>
      <c r="H29" s="10" t="s">
        <v>16</v>
      </c>
    </row>
    <row r="30" spans="1:8">
      <c r="A30" s="10" t="s">
        <v>39</v>
      </c>
      <c r="B30" s="10" t="s">
        <v>26</v>
      </c>
      <c r="C30" s="10" t="s">
        <v>27</v>
      </c>
      <c r="D30" s="10" t="s">
        <v>40</v>
      </c>
      <c r="E30" s="11">
        <v>6</v>
      </c>
      <c r="F30" s="11">
        <v>4</v>
      </c>
      <c r="G30" s="11">
        <v>2</v>
      </c>
      <c r="H30" s="10" t="s">
        <v>16</v>
      </c>
    </row>
    <row r="31" spans="1:8">
      <c r="A31" s="10" t="s">
        <v>39</v>
      </c>
      <c r="B31" s="10" t="s">
        <v>34</v>
      </c>
      <c r="C31" s="10" t="s">
        <v>23</v>
      </c>
      <c r="D31" s="10" t="s">
        <v>29</v>
      </c>
      <c r="E31" s="11">
        <v>13</v>
      </c>
      <c r="F31" s="11">
        <v>12</v>
      </c>
      <c r="G31" s="11">
        <v>3</v>
      </c>
      <c r="H31" s="10" t="s">
        <v>16</v>
      </c>
    </row>
    <row r="32" spans="1:8">
      <c r="A32" s="10" t="s">
        <v>41</v>
      </c>
      <c r="B32" s="10" t="s">
        <v>26</v>
      </c>
      <c r="C32" s="10" t="s">
        <v>27</v>
      </c>
      <c r="D32" s="10" t="s">
        <v>15</v>
      </c>
      <c r="E32" s="11">
        <v>12</v>
      </c>
      <c r="F32" s="11">
        <v>10</v>
      </c>
      <c r="G32" s="11">
        <v>4</v>
      </c>
      <c r="H32" s="10" t="s">
        <v>16</v>
      </c>
    </row>
    <row r="33" spans="1:8">
      <c r="A33" s="10" t="s">
        <v>42</v>
      </c>
      <c r="B33" s="10" t="s">
        <v>18</v>
      </c>
      <c r="C33" s="10" t="s">
        <v>14</v>
      </c>
      <c r="D33" s="10" t="s">
        <v>19</v>
      </c>
      <c r="E33" s="11">
        <v>14</v>
      </c>
      <c r="F33" s="11">
        <v>11</v>
      </c>
      <c r="G33" s="11">
        <v>3</v>
      </c>
      <c r="H33" s="10" t="s">
        <v>16</v>
      </c>
    </row>
    <row r="34" spans="1:8">
      <c r="A34" s="10" t="s">
        <v>42</v>
      </c>
      <c r="B34" s="10" t="s">
        <v>34</v>
      </c>
      <c r="C34" s="10" t="s">
        <v>23</v>
      </c>
      <c r="D34" s="10" t="s">
        <v>11</v>
      </c>
      <c r="E34" s="11">
        <v>7</v>
      </c>
      <c r="F34" s="11">
        <v>4</v>
      </c>
      <c r="G34" s="11">
        <v>2</v>
      </c>
      <c r="H34" s="10" t="s">
        <v>16</v>
      </c>
    </row>
    <row r="35" spans="1:8">
      <c r="A35" s="10" t="s">
        <v>42</v>
      </c>
      <c r="B35" s="10" t="s">
        <v>13</v>
      </c>
      <c r="C35" s="10" t="s">
        <v>14</v>
      </c>
      <c r="D35" s="10" t="s">
        <v>11</v>
      </c>
      <c r="E35" s="11">
        <v>9</v>
      </c>
      <c r="F35" s="11">
        <v>6</v>
      </c>
      <c r="G35" s="11">
        <v>2</v>
      </c>
      <c r="H35" s="10" t="s">
        <v>20</v>
      </c>
    </row>
    <row r="36" spans="1:8">
      <c r="A36" s="10" t="s">
        <v>42</v>
      </c>
      <c r="B36" s="10" t="s">
        <v>22</v>
      </c>
      <c r="C36" s="10" t="s">
        <v>23</v>
      </c>
      <c r="D36" s="10" t="s">
        <v>24</v>
      </c>
      <c r="E36" s="11">
        <v>7</v>
      </c>
      <c r="F36" s="11">
        <v>6</v>
      </c>
      <c r="G36" s="11">
        <v>4</v>
      </c>
      <c r="H36" s="10" t="s">
        <v>12</v>
      </c>
    </row>
    <row r="37" spans="1:8">
      <c r="A37" s="10" t="s">
        <v>42</v>
      </c>
      <c r="B37" s="10" t="s">
        <v>22</v>
      </c>
      <c r="C37" s="10" t="s">
        <v>23</v>
      </c>
      <c r="D37" s="10" t="s">
        <v>19</v>
      </c>
      <c r="E37" s="11">
        <v>12</v>
      </c>
      <c r="F37" s="11">
        <v>9</v>
      </c>
      <c r="G37" s="11">
        <v>2</v>
      </c>
      <c r="H37" s="10" t="s">
        <v>12</v>
      </c>
    </row>
    <row r="38" spans="1:8">
      <c r="A38" s="10" t="s">
        <v>42</v>
      </c>
      <c r="B38" s="10" t="s">
        <v>21</v>
      </c>
      <c r="C38" s="10" t="s">
        <v>14</v>
      </c>
      <c r="D38" s="10" t="s">
        <v>28</v>
      </c>
      <c r="E38" s="11">
        <v>14</v>
      </c>
      <c r="F38" s="11">
        <v>11</v>
      </c>
      <c r="G38" s="11">
        <v>4</v>
      </c>
      <c r="H38" s="10" t="s">
        <v>16</v>
      </c>
    </row>
    <row r="39" spans="1:8">
      <c r="A39" s="10" t="s">
        <v>43</v>
      </c>
      <c r="B39" s="10" t="s">
        <v>9</v>
      </c>
      <c r="C39" s="10" t="s">
        <v>10</v>
      </c>
      <c r="D39" s="10" t="s">
        <v>15</v>
      </c>
      <c r="E39" s="11">
        <v>14</v>
      </c>
      <c r="F39" s="11">
        <v>13</v>
      </c>
      <c r="G39" s="11">
        <v>1</v>
      </c>
      <c r="H39" s="10" t="s">
        <v>16</v>
      </c>
    </row>
    <row r="40" spans="1:8">
      <c r="A40" s="10" t="s">
        <v>43</v>
      </c>
      <c r="B40" s="10" t="s">
        <v>21</v>
      </c>
      <c r="C40" s="10" t="s">
        <v>14</v>
      </c>
      <c r="D40" s="10" t="s">
        <v>15</v>
      </c>
      <c r="E40" s="11">
        <v>4</v>
      </c>
      <c r="F40" s="11">
        <v>2</v>
      </c>
      <c r="G40" s="11">
        <v>4</v>
      </c>
      <c r="H40" s="10" t="s">
        <v>16</v>
      </c>
    </row>
    <row r="41" spans="1:8">
      <c r="A41" s="10" t="s">
        <v>43</v>
      </c>
      <c r="B41" s="10" t="s">
        <v>32</v>
      </c>
      <c r="C41" s="10" t="s">
        <v>10</v>
      </c>
      <c r="D41" s="10" t="s">
        <v>11</v>
      </c>
      <c r="E41" s="11">
        <v>3</v>
      </c>
      <c r="F41" s="11">
        <v>1</v>
      </c>
      <c r="G41" s="11">
        <v>1</v>
      </c>
      <c r="H41" s="10" t="s">
        <v>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B014-0970-4CBC-9B80-D2BF95B94D4C}">
  <dimension ref="A1:F45"/>
  <sheetViews>
    <sheetView tabSelected="1" workbookViewId="0">
      <selection activeCell="E8" sqref="E8:F11"/>
    </sheetView>
  </sheetViews>
  <sheetFormatPr defaultRowHeight="15"/>
  <cols>
    <col min="1" max="1" width="16.5703125" bestFit="1" customWidth="1"/>
    <col min="2" max="2" width="27.42578125" bestFit="1" customWidth="1"/>
    <col min="5" max="5" width="17.140625" bestFit="1" customWidth="1"/>
  </cols>
  <sheetData>
    <row r="1" spans="1:6">
      <c r="A1" s="1" t="s">
        <v>2</v>
      </c>
      <c r="B1" t="s">
        <v>44</v>
      </c>
    </row>
    <row r="2" spans="1:6">
      <c r="A2" t="s">
        <v>23</v>
      </c>
      <c r="B2" s="2">
        <v>11</v>
      </c>
    </row>
    <row r="3" spans="1:6">
      <c r="A3" t="s">
        <v>27</v>
      </c>
      <c r="B3" s="2">
        <v>6</v>
      </c>
    </row>
    <row r="4" spans="1:6">
      <c r="A4" t="s">
        <v>14</v>
      </c>
      <c r="B4" s="2">
        <v>17</v>
      </c>
    </row>
    <row r="5" spans="1:6">
      <c r="A5" t="s">
        <v>10</v>
      </c>
      <c r="B5" s="2">
        <v>6</v>
      </c>
    </row>
    <row r="6" spans="1:6">
      <c r="A6" t="s">
        <v>45</v>
      </c>
      <c r="B6" s="2">
        <v>40</v>
      </c>
    </row>
    <row r="8" spans="1:6">
      <c r="E8" s="7" t="s">
        <v>46</v>
      </c>
      <c r="F8" s="7">
        <f>COUNTA(Table1[Machine Model])</f>
        <v>40</v>
      </c>
    </row>
    <row r="9" spans="1:6">
      <c r="E9" s="7" t="s">
        <v>47</v>
      </c>
      <c r="F9" s="8">
        <f>AVERAGE(Table1[Downtime Hours])</f>
        <v>9.3249999999999993</v>
      </c>
    </row>
    <row r="10" spans="1:6">
      <c r="E10" s="7" t="s">
        <v>48</v>
      </c>
      <c r="F10" s="7">
        <f>AVERAGE(Table1[Repair Time Hours])</f>
        <v>7.5</v>
      </c>
    </row>
    <row r="11" spans="1:6">
      <c r="A11" s="1" t="s">
        <v>0</v>
      </c>
      <c r="B11" t="s">
        <v>49</v>
      </c>
      <c r="E11" s="7" t="s">
        <v>50</v>
      </c>
      <c r="F11" s="9">
        <f>SUM(Table1[Parts Used])</f>
        <v>108</v>
      </c>
    </row>
    <row r="12" spans="1:6">
      <c r="A12" t="s">
        <v>8</v>
      </c>
      <c r="B12" s="3">
        <v>27</v>
      </c>
    </row>
    <row r="13" spans="1:6">
      <c r="A13" t="s">
        <v>17</v>
      </c>
      <c r="B13" s="3">
        <v>23</v>
      </c>
    </row>
    <row r="14" spans="1:6">
      <c r="A14" t="s">
        <v>25</v>
      </c>
      <c r="B14" s="3">
        <v>32</v>
      </c>
    </row>
    <row r="15" spans="1:6">
      <c r="A15" t="s">
        <v>30</v>
      </c>
      <c r="B15" s="3">
        <v>20</v>
      </c>
    </row>
    <row r="16" spans="1:6">
      <c r="A16" t="s">
        <v>31</v>
      </c>
      <c r="B16" s="3">
        <v>20</v>
      </c>
    </row>
    <row r="17" spans="1:2">
      <c r="A17" t="s">
        <v>33</v>
      </c>
      <c r="B17" s="3">
        <v>15</v>
      </c>
    </row>
    <row r="18" spans="1:2">
      <c r="A18" t="s">
        <v>35</v>
      </c>
      <c r="B18" s="3">
        <v>32</v>
      </c>
    </row>
    <row r="19" spans="1:2">
      <c r="A19" t="s">
        <v>36</v>
      </c>
      <c r="B19" s="3">
        <v>37</v>
      </c>
    </row>
    <row r="20" spans="1:2">
      <c r="A20" t="s">
        <v>37</v>
      </c>
      <c r="B20" s="3">
        <v>7</v>
      </c>
    </row>
    <row r="21" spans="1:2">
      <c r="A21" t="s">
        <v>38</v>
      </c>
      <c r="B21" s="3">
        <v>45</v>
      </c>
    </row>
    <row r="22" spans="1:2">
      <c r="A22" t="s">
        <v>39</v>
      </c>
      <c r="B22" s="3">
        <v>19</v>
      </c>
    </row>
    <row r="23" spans="1:2">
      <c r="A23" t="s">
        <v>41</v>
      </c>
      <c r="B23" s="3">
        <v>12</v>
      </c>
    </row>
    <row r="24" spans="1:2">
      <c r="A24" t="s">
        <v>42</v>
      </c>
      <c r="B24" s="3">
        <v>63</v>
      </c>
    </row>
    <row r="25" spans="1:2">
      <c r="A25" t="s">
        <v>43</v>
      </c>
      <c r="B25" s="3">
        <v>21</v>
      </c>
    </row>
    <row r="26" spans="1:2">
      <c r="A26" t="s">
        <v>45</v>
      </c>
      <c r="B26" s="3">
        <v>373</v>
      </c>
    </row>
    <row r="29" spans="1:2">
      <c r="A29" s="1" t="s">
        <v>1</v>
      </c>
      <c r="B29" t="s">
        <v>51</v>
      </c>
    </row>
    <row r="30" spans="1:2">
      <c r="A30" t="s">
        <v>18</v>
      </c>
      <c r="B30" s="3">
        <v>6.5714285714285712</v>
      </c>
    </row>
    <row r="31" spans="1:2">
      <c r="A31" t="s">
        <v>13</v>
      </c>
      <c r="B31" s="3">
        <v>10.333333333333334</v>
      </c>
    </row>
    <row r="32" spans="1:2">
      <c r="A32" t="s">
        <v>22</v>
      </c>
      <c r="B32" s="3">
        <v>10.166666666666666</v>
      </c>
    </row>
    <row r="33" spans="1:2">
      <c r="A33" t="s">
        <v>34</v>
      </c>
      <c r="B33" s="3">
        <v>6.2</v>
      </c>
    </row>
    <row r="34" spans="1:2">
      <c r="A34" t="s">
        <v>21</v>
      </c>
      <c r="B34" s="3">
        <v>6.1428571428571432</v>
      </c>
    </row>
    <row r="35" spans="1:2">
      <c r="A35" t="s">
        <v>26</v>
      </c>
      <c r="B35" s="3">
        <v>6.666666666666667</v>
      </c>
    </row>
    <row r="36" spans="1:2">
      <c r="A36" t="s">
        <v>9</v>
      </c>
      <c r="B36" s="3">
        <v>10.25</v>
      </c>
    </row>
    <row r="37" spans="1:2">
      <c r="A37" t="s">
        <v>32</v>
      </c>
      <c r="B37" s="3">
        <v>3.5</v>
      </c>
    </row>
    <row r="38" spans="1:2">
      <c r="A38" t="s">
        <v>45</v>
      </c>
      <c r="B38" s="3">
        <v>7.5</v>
      </c>
    </row>
    <row r="40" spans="1:2">
      <c r="A40" s="1" t="s">
        <v>2</v>
      </c>
      <c r="B40" t="s">
        <v>52</v>
      </c>
    </row>
    <row r="41" spans="1:2">
      <c r="A41" t="s">
        <v>23</v>
      </c>
      <c r="B41" s="2">
        <v>11</v>
      </c>
    </row>
    <row r="42" spans="1:2">
      <c r="A42" t="s">
        <v>27</v>
      </c>
      <c r="B42" s="2">
        <v>6</v>
      </c>
    </row>
    <row r="43" spans="1:2">
      <c r="A43" t="s">
        <v>14</v>
      </c>
      <c r="B43" s="2">
        <v>17</v>
      </c>
    </row>
    <row r="44" spans="1:2">
      <c r="A44" t="s">
        <v>10</v>
      </c>
      <c r="B44" s="2">
        <v>6</v>
      </c>
    </row>
    <row r="45" spans="1:2">
      <c r="A45" t="s">
        <v>45</v>
      </c>
      <c r="B45" s="2">
        <v>40</v>
      </c>
    </row>
  </sheetData>
  <autoFilter ref="B8" xr:uid="{72A7B014-0970-4CBC-9B80-D2BF95B94D4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EC88-7B06-47A0-B0F2-348CD178D6B3}">
  <dimension ref="A1:D2"/>
  <sheetViews>
    <sheetView showGridLines="0" workbookViewId="0">
      <selection activeCell="R10" sqref="R10"/>
    </sheetView>
  </sheetViews>
  <sheetFormatPr defaultRowHeight="15"/>
  <cols>
    <col min="1" max="1" width="61.42578125" customWidth="1"/>
    <col min="2" max="2" width="12" customWidth="1"/>
  </cols>
  <sheetData>
    <row r="1" spans="1:4" ht="33.75">
      <c r="A1" s="6" t="s">
        <v>53</v>
      </c>
      <c r="B1" s="6"/>
    </row>
    <row r="2" spans="1:4" ht="26.25">
      <c r="A2" s="5" t="s">
        <v>54</v>
      </c>
      <c r="B2" s="5"/>
      <c r="C2" s="4"/>
      <c r="D2" s="4"/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2026-03-12T10:50:21Z</dcterms:created>
  <dcterms:modified xsi:type="dcterms:W3CDTF">2026-03-12T14:51:52Z</dcterms:modified>
  <cp:category/>
  <cp:contentStatus/>
</cp:coreProperties>
</file>